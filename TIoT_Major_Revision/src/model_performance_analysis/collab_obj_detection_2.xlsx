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filterPrivacy="1"/>
  <xr:revisionPtr revIDLastSave="0" documentId="13_ncr:1_{0CA19240-4449-DC4C-A017-211DA69442B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Wildtrack_&amp;_Cityflo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4" l="1"/>
  <c r="L27" i="4"/>
  <c r="K27" i="4"/>
  <c r="K26" i="4"/>
  <c r="L14" i="4"/>
  <c r="L15" i="4"/>
  <c r="K14" i="4"/>
  <c r="K15" i="4"/>
  <c r="G14" i="4"/>
  <c r="G15" i="4"/>
  <c r="F14" i="4"/>
  <c r="F15" i="4"/>
  <c r="G26" i="4"/>
  <c r="G27" i="4"/>
  <c r="F26" i="4"/>
  <c r="F27" i="4"/>
  <c r="K25" i="4"/>
  <c r="L25" i="4"/>
  <c r="L13" i="4"/>
  <c r="K13" i="4"/>
  <c r="G13" i="4"/>
  <c r="G25" i="4"/>
  <c r="F25" i="4"/>
  <c r="F13" i="4"/>
</calcChain>
</file>

<file path=xl/sharedStrings.xml><?xml version="1.0" encoding="utf-8"?>
<sst xmlns="http://schemas.openxmlformats.org/spreadsheetml/2006/main" count="31" uniqueCount="19">
  <si>
    <t>Model Metadata</t>
  </si>
  <si>
    <t xml:space="preserve">Trained on </t>
  </si>
  <si>
    <t>WT + CityFlow (S01 -&gt; c002, c004)</t>
  </si>
  <si>
    <t>Total Classes</t>
  </si>
  <si>
    <t>2 (person, Cars)</t>
  </si>
  <si>
    <t>Single Image Model Performance</t>
  </si>
  <si>
    <t>Resolutions</t>
  </si>
  <si>
    <t>Region</t>
  </si>
  <si>
    <t>33_left</t>
  </si>
  <si>
    <t>33_right</t>
  </si>
  <si>
    <t>66_left</t>
  </si>
  <si>
    <t>66_right</t>
  </si>
  <si>
    <t>33_avg</t>
  </si>
  <si>
    <t>66_avg</t>
  </si>
  <si>
    <t>66_stdev</t>
  </si>
  <si>
    <t>33_stdev</t>
  </si>
  <si>
    <t>Prior Image Model Performance (mAP score for both classes combined)</t>
  </si>
  <si>
    <t>33_middle</t>
  </si>
  <si>
    <t>66_middle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</si>
</sst>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32948820348548"/>
          <c:y val="0.19433827905424697"/>
          <c:w val="0.77082981999409339"/>
          <c:h val="0.56077417008209074"/>
        </c:manualLayout>
      </c:layout>
      <c:barChart>
        <c:barDir val="col"/>
        <c:grouping val="clustered"/>
        <c:varyColors val="0"/>
        <c:ser>
          <c:idx val="0"/>
          <c:order val="0"/>
          <c:tx>
            <c:v>base_33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'Wildtrack_&amp;_Cityflow'!$G$25:$G$27</c:f>
                <c:numCache>
                  <c:formatCode>General</c:formatCode>
                  <c:ptCount val="3"/>
                  <c:pt idx="0">
                    <c:v>1.3597399555105182E-16</c:v>
                  </c:pt>
                  <c:pt idx="1">
                    <c:v>0.10115993936995615</c:v>
                  </c:pt>
                  <c:pt idx="2">
                    <c:v>0.13892443989449837</c:v>
                  </c:pt>
                </c:numCache>
              </c:numRef>
            </c:plus>
            <c:minus>
              <c:numRef>
                <c:f>'Wildtrack_&amp;_Cityflow'!$G$25:$G$27</c:f>
                <c:numCache>
                  <c:formatCode>General</c:formatCode>
                  <c:ptCount val="3"/>
                  <c:pt idx="0">
                    <c:v>1.3597399555105182E-16</c:v>
                  </c:pt>
                  <c:pt idx="1">
                    <c:v>0.10115993936995615</c:v>
                  </c:pt>
                  <c:pt idx="2">
                    <c:v>0.13892443989449837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'Wildtrack_&amp;_Cityflow'!$B$13:$B$15</c:f>
              <c:numCache>
                <c:formatCode>General</c:formatCode>
                <c:ptCount val="3"/>
                <c:pt idx="0">
                  <c:v>1056</c:v>
                </c:pt>
                <c:pt idx="1">
                  <c:v>224</c:v>
                </c:pt>
                <c:pt idx="2">
                  <c:v>128</c:v>
                </c:pt>
              </c:numCache>
            </c:numRef>
          </c:cat>
          <c:val>
            <c:numRef>
              <c:f>'Wildtrack_&amp;_Cityflow'!$F$25:$F$27</c:f>
              <c:numCache>
                <c:formatCode>General</c:formatCode>
                <c:ptCount val="3"/>
                <c:pt idx="0">
                  <c:v>0.80000000000000016</c:v>
                </c:pt>
                <c:pt idx="1">
                  <c:v>0.62666666666666671</c:v>
                </c:pt>
                <c:pt idx="2">
                  <c:v>0.54999999999999993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D-804E-AC8D-E24E1B9DDF71}"/>
            </c:ext>
          </c:extLst>
        </c:ser>
        <c:ser>
          <c:idx val="1"/>
          <c:order val="1"/>
          <c:tx>
            <c:v>base_66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'Wildtrack_&amp;_Cityflow'!$L$25:$L$27</c:f>
                <c:numCache>
                  <c:formatCode>General</c:formatCode>
                  <c:ptCount val="3"/>
                  <c:pt idx="0">
                    <c:v>1.3597399555105182E-16</c:v>
                  </c:pt>
                  <c:pt idx="1">
                    <c:v>1.1547005383792526E-2</c:v>
                  </c:pt>
                  <c:pt idx="2">
                    <c:v>0</c:v>
                  </c:pt>
                </c:numCache>
              </c:numRef>
            </c:plus>
            <c:minus>
              <c:numRef>
                <c:f>'Wildtrack_&amp;_Cityflow'!$L$25:$L$27</c:f>
                <c:numCache>
                  <c:formatCode>General</c:formatCode>
                  <c:ptCount val="3"/>
                  <c:pt idx="0">
                    <c:v>1.3597399555105182E-16</c:v>
                  </c:pt>
                  <c:pt idx="1">
                    <c:v>1.1547005383792526E-2</c:v>
                  </c:pt>
                  <c:pt idx="2">
                    <c:v>0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'Wildtrack_&amp;_Cityflow'!$B$13:$B$15</c:f>
              <c:numCache>
                <c:formatCode>General</c:formatCode>
                <c:ptCount val="3"/>
                <c:pt idx="0">
                  <c:v>1056</c:v>
                </c:pt>
                <c:pt idx="1">
                  <c:v>224</c:v>
                </c:pt>
                <c:pt idx="2">
                  <c:v>128</c:v>
                </c:pt>
              </c:numCache>
            </c:numRef>
          </c:cat>
          <c:val>
            <c:numRef>
              <c:f>'Wildtrack_&amp;_Cityflow'!$K$25:$K$27</c:f>
              <c:numCache>
                <c:formatCode>General</c:formatCode>
                <c:ptCount val="3"/>
                <c:pt idx="0">
                  <c:v>0.80000000000000016</c:v>
                </c:pt>
                <c:pt idx="1">
                  <c:v>0.37666666666666665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D-804E-AC8D-E24E1B9DDF71}"/>
            </c:ext>
          </c:extLst>
        </c:ser>
        <c:ser>
          <c:idx val="2"/>
          <c:order val="2"/>
          <c:tx>
            <c:v>prior_33</c:v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'Wildtrack_&amp;_Cityflow'!$G$13:$G$15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2.0816659994661302E-2</c:v>
                  </c:pt>
                  <c:pt idx="2">
                    <c:v>5.0332229568471651E-2</c:v>
                  </c:pt>
                </c:numCache>
              </c:numRef>
            </c:plus>
            <c:minus>
              <c:numRef>
                <c:f>'Wildtrack_&amp;_Cityflow'!$G$13:$G$15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2.0816659994661302E-2</c:v>
                  </c:pt>
                  <c:pt idx="2">
                    <c:v>5.0332229568471651E-2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'Wildtrack_&amp;_Cityflow'!$B$13:$B$15</c:f>
              <c:numCache>
                <c:formatCode>General</c:formatCode>
                <c:ptCount val="3"/>
                <c:pt idx="0">
                  <c:v>1056</c:v>
                </c:pt>
                <c:pt idx="1">
                  <c:v>224</c:v>
                </c:pt>
                <c:pt idx="2">
                  <c:v>128</c:v>
                </c:pt>
              </c:numCache>
            </c:numRef>
          </c:cat>
          <c:val>
            <c:numRef>
              <c:f>'Wildtrack_&amp;_Cityflow'!$F$13:$F$15</c:f>
              <c:numCache>
                <c:formatCode>General</c:formatCode>
                <c:ptCount val="3"/>
                <c:pt idx="0">
                  <c:v>0.71</c:v>
                </c:pt>
                <c:pt idx="1">
                  <c:v>0.67333333333333334</c:v>
                </c:pt>
                <c:pt idx="2">
                  <c:v>0.60333333333333339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D-804E-AC8D-E24E1B9DDF71}"/>
            </c:ext>
          </c:extLst>
        </c:ser>
        <c:ser>
          <c:idx val="3"/>
          <c:order val="3"/>
          <c:tx>
            <c:v>prior_66</c:v>
          </c:tx>
          <c:spPr>
            <a:pattFill prst="plaid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38100">
              <a:solidFill>
                <a:schemeClr val="tx1"/>
              </a:solidFill>
              <a:prstDash val="dash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'Wildtrack_&amp;_Cityflow'!$L$13:$L$15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5.7735026918962632E-3</c:v>
                  </c:pt>
                  <c:pt idx="2">
                    <c:v>1.5275252316519449E-2</c:v>
                  </c:pt>
                </c:numCache>
              </c:numRef>
            </c:plus>
            <c:minus>
              <c:numRef>
                <c:f>'Wildtrack_&amp;_Cityflow'!$L$13:$L$15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5.7735026918962632E-3</c:v>
                  </c:pt>
                  <c:pt idx="2">
                    <c:v>1.5275252316519449E-2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'Wildtrack_&amp;_Cityflow'!$B$13:$B$15</c:f>
              <c:numCache>
                <c:formatCode>General</c:formatCode>
                <c:ptCount val="3"/>
                <c:pt idx="0">
                  <c:v>1056</c:v>
                </c:pt>
                <c:pt idx="1">
                  <c:v>224</c:v>
                </c:pt>
                <c:pt idx="2">
                  <c:v>128</c:v>
                </c:pt>
              </c:numCache>
            </c:numRef>
          </c:cat>
          <c:val>
            <c:numRef>
              <c:f>'Wildtrack_&amp;_Cityflow'!$K$13:$K$15</c:f>
              <c:numCache>
                <c:formatCode>General</c:formatCode>
                <c:ptCount val="3"/>
                <c:pt idx="0">
                  <c:v>0.71</c:v>
                </c:pt>
                <c:pt idx="1">
                  <c:v>0.62333333333333341</c:v>
                </c:pt>
                <c:pt idx="2">
                  <c:v>0.46333333333333332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0D-804E-AC8D-E24E1B9DD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12"/>
        <c:axId val="864809504"/>
        <c:axId val="864827872"/>
      </c:barChart>
      <c:catAx>
        <c:axId val="86480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Shared Region Resolution</a:t>
                </a:r>
              </a:p>
            </c:rich>
          </c:tx>
          <c:layout>
            <c:manualLayout>
              <c:xMode val="edge"/>
              <c:yMode val="edge"/>
              <c:x val="0.31395823520617894"/>
              <c:y val="0.90853631414670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27872"/>
        <c:crosses val="autoZero"/>
        <c:auto val="1"/>
        <c:lblAlgn val="ctr"/>
        <c:lblOffset val="100"/>
        <c:noMultiLvlLbl val="0"/>
      </c:catAx>
      <c:valAx>
        <c:axId val="8648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mAP Score</a:t>
                </a:r>
              </a:p>
            </c:rich>
          </c:tx>
          <c:layout>
            <c:manualLayout>
              <c:xMode val="edge"/>
              <c:yMode val="edge"/>
              <c:x val="0"/>
              <c:y val="0.300251586173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68877859732944"/>
          <c:y val="5.0065905266565552E-3"/>
          <c:w val="0.65630504915765742"/>
          <c:h val="0.2114639926115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142593</xdr:colOff>
      <xdr:row>31</xdr:row>
      <xdr:rowOff>110065</xdr:rowOff>
    </xdr:from>
    <xdr:to>
      <xdr:col>11</xdr:col>
      <xdr:colOff>672353</xdr:colOff>
      <xdr:row>57</xdr:row>
      <xdr:rowOff>85378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6C04B-F276-5C3A-6911-B40CF663F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6C56-03B9-3645-9173-1A3239E17A57}">
  <dimension ref="A1:L27"/>
  <sheetViews>
    <sheetView tabSelected="1" topLeftCell="A22" zoomScale="119" workbookViewId="0">
      <selection activeCell="P37" sqref="P37"/>
    </sheetView>
  </sheetViews>
  <sheetFormatPr baseColWidth="10" defaultRowHeight="15" x14ac:dyDescent="0.2"/>
  <cols>
    <col min="1" max="1" width="10.83203125" style="1"/>
    <col min="2" max="2" width="13.1640625" style="1" bestFit="1" customWidth="1"/>
    <col min="3" max="3" width="12.6640625" style="1" bestFit="1" customWidth="1"/>
    <col min="4" max="16384" width="10.83203125" style="1"/>
  </cols>
  <sheetData>
    <row r="1" spans="1:12" x14ac:dyDescent="0.2">
      <c r="A1" s="7" t="s">
        <v>0</v>
      </c>
      <c r="B1" s="7"/>
      <c r="C1" s="7"/>
      <c r="D1" s="7"/>
      <c r="E1" s="7"/>
      <c r="F1" s="7"/>
      <c r="G1" s="7"/>
    </row>
    <row r="2" spans="1:12" x14ac:dyDescent="0.2">
      <c r="A2" s="1" t="s">
        <v>1</v>
      </c>
      <c r="B2" s="1" t="s">
        <v>3</v>
      </c>
    </row>
    <row r="3" spans="1:12" ht="15" customHeight="1" x14ac:dyDescent="0.2">
      <c r="A3" s="8" t="s">
        <v>2</v>
      </c>
      <c r="B3" s="8" t="s">
        <v>4</v>
      </c>
    </row>
    <row r="4" spans="1:12" x14ac:dyDescent="0.2">
      <c r="A4" s="8"/>
      <c r="B4" s="8"/>
    </row>
    <row r="5" spans="1:12" x14ac:dyDescent="0.2">
      <c r="A5" s="8"/>
      <c r="B5" s="8"/>
    </row>
    <row r="6" spans="1:12" x14ac:dyDescent="0.2">
      <c r="A6" s="8"/>
      <c r="B6" s="8"/>
    </row>
    <row r="7" spans="1:12" x14ac:dyDescent="0.2">
      <c r="A7" s="8"/>
      <c r="B7" s="8"/>
    </row>
    <row r="9" spans="1:12" ht="15" customHeight="1" x14ac:dyDescent="0.2">
      <c r="A9" s="6" t="s">
        <v>16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1" spans="1:12" x14ac:dyDescent="0.2">
      <c r="C11" s="4" t="s">
        <v>7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B12" s="3" t="s">
        <v>6</v>
      </c>
      <c r="C12" s="3" t="s">
        <v>8</v>
      </c>
      <c r="D12" s="3" t="s">
        <v>9</v>
      </c>
      <c r="E12" s="3" t="s">
        <v>17</v>
      </c>
      <c r="F12" s="3" t="s">
        <v>12</v>
      </c>
      <c r="G12" s="3" t="s">
        <v>15</v>
      </c>
      <c r="H12" s="3" t="s">
        <v>10</v>
      </c>
      <c r="I12" s="3" t="s">
        <v>11</v>
      </c>
      <c r="J12" s="3" t="s">
        <v>18</v>
      </c>
      <c r="K12" s="3" t="s">
        <v>13</v>
      </c>
      <c r="L12" s="3" t="s">
        <v>14</v>
      </c>
    </row>
    <row r="13" spans="1:12" x14ac:dyDescent="0.2">
      <c r="B13" s="2">
        <v>1056</v>
      </c>
      <c r="C13" s="2">
        <v>0.71</v>
      </c>
      <c r="D13" s="1">
        <v>0.71</v>
      </c>
      <c r="E13" s="1">
        <v>0.71</v>
      </c>
      <c r="F13" s="2">
        <f>AVERAGE(C13:E13)</f>
        <v>0.71</v>
      </c>
      <c r="G13" s="2">
        <f>STDEV(C13:E13)</f>
        <v>0</v>
      </c>
      <c r="H13" s="2">
        <v>0.71</v>
      </c>
      <c r="I13" s="2">
        <v>0.71</v>
      </c>
      <c r="J13" s="2">
        <v>0.71</v>
      </c>
      <c r="K13" s="2">
        <f>AVERAGE(H13:J13)</f>
        <v>0.71</v>
      </c>
      <c r="L13" s="2">
        <f>STDEV(H13:J13)</f>
        <v>0</v>
      </c>
    </row>
    <row r="14" spans="1:12" x14ac:dyDescent="0.2">
      <c r="B14" s="2">
        <v>224</v>
      </c>
      <c r="C14" s="2">
        <v>0.68</v>
      </c>
      <c r="D14" s="2">
        <v>0.69</v>
      </c>
      <c r="E14" s="2">
        <v>0.65</v>
      </c>
      <c r="F14" s="2">
        <f t="shared" ref="F14" si="0">AVERAGE(C14:E14)</f>
        <v>0.67333333333333334</v>
      </c>
      <c r="G14" s="2">
        <f t="shared" ref="G14" si="1">STDEV(C14:E14)</f>
        <v>2.0816659994661302E-2</v>
      </c>
      <c r="H14" s="2">
        <v>0.62</v>
      </c>
      <c r="I14" s="2">
        <v>0.63</v>
      </c>
      <c r="J14" s="2">
        <v>0.62</v>
      </c>
      <c r="K14" s="2">
        <f t="shared" ref="K14:K15" si="2">AVERAGE(H14:J14)</f>
        <v>0.62333333333333341</v>
      </c>
      <c r="L14" s="2">
        <f t="shared" ref="L14:L15" si="3">STDEV(H14:J14)</f>
        <v>5.7735026918962632E-3</v>
      </c>
    </row>
    <row r="15" spans="1:12" x14ac:dyDescent="0.2">
      <c r="B15" s="2">
        <v>128</v>
      </c>
      <c r="C15" s="2">
        <v>0.61</v>
      </c>
      <c r="D15" s="2">
        <v>0.65</v>
      </c>
      <c r="E15" s="2">
        <v>0.55000000000000004</v>
      </c>
      <c r="F15" s="2">
        <f>AVERAGE(C15:E15)</f>
        <v>0.60333333333333339</v>
      </c>
      <c r="G15" s="2">
        <f>STDEV(C15:E15)</f>
        <v>5.0332229568471651E-2</v>
      </c>
      <c r="H15" s="2">
        <v>0.45</v>
      </c>
      <c r="I15" s="2">
        <v>0.48</v>
      </c>
      <c r="J15" s="2">
        <v>0.46</v>
      </c>
      <c r="K15" s="2">
        <f t="shared" si="2"/>
        <v>0.46333333333333332</v>
      </c>
      <c r="L15" s="2">
        <f t="shared" si="3"/>
        <v>1.5275252316519449E-2</v>
      </c>
    </row>
    <row r="22" spans="1:12" ht="15" customHeight="1" x14ac:dyDescent="0.2">
      <c r="A22" s="5" t="s">
        <v>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">
      <c r="C23" s="4" t="s">
        <v>7</v>
      </c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">
      <c r="B24" s="3" t="s">
        <v>6</v>
      </c>
      <c r="C24" s="3" t="s">
        <v>8</v>
      </c>
      <c r="D24" s="3" t="s">
        <v>9</v>
      </c>
      <c r="E24" s="3" t="s">
        <v>17</v>
      </c>
      <c r="F24" s="3" t="s">
        <v>12</v>
      </c>
      <c r="G24" s="3" t="s">
        <v>15</v>
      </c>
      <c r="H24" s="3" t="s">
        <v>10</v>
      </c>
      <c r="I24" s="3" t="s">
        <v>11</v>
      </c>
      <c r="J24" s="3" t="s">
        <v>18</v>
      </c>
      <c r="K24" s="3" t="s">
        <v>13</v>
      </c>
      <c r="L24" s="3" t="s">
        <v>14</v>
      </c>
    </row>
    <row r="25" spans="1:12" x14ac:dyDescent="0.2">
      <c r="B25" s="2">
        <v>1056</v>
      </c>
      <c r="C25" s="2">
        <v>0.8</v>
      </c>
      <c r="D25" s="2">
        <v>0.8</v>
      </c>
      <c r="E25" s="2">
        <v>0.8</v>
      </c>
      <c r="F25" s="2">
        <f>AVERAGE(C25:E25)</f>
        <v>0.80000000000000016</v>
      </c>
      <c r="G25" s="2">
        <f>STDEV(C25:E25)</f>
        <v>1.3597399555105182E-16</v>
      </c>
      <c r="H25" s="2">
        <v>0.8</v>
      </c>
      <c r="I25" s="2">
        <v>0.8</v>
      </c>
      <c r="J25" s="2">
        <v>0.8</v>
      </c>
      <c r="K25" s="2">
        <f>AVERAGE(H25:J25)</f>
        <v>0.80000000000000016</v>
      </c>
      <c r="L25" s="2">
        <f>STDEV(H25:J25)</f>
        <v>1.3597399555105182E-16</v>
      </c>
    </row>
    <row r="26" spans="1:12" x14ac:dyDescent="0.2">
      <c r="B26" s="2">
        <v>224</v>
      </c>
      <c r="C26" s="2">
        <v>0.69</v>
      </c>
      <c r="D26" s="2">
        <v>0.68</v>
      </c>
      <c r="E26" s="2">
        <v>0.51</v>
      </c>
      <c r="F26" s="2">
        <f t="shared" ref="F26:F27" si="4">AVERAGE(C26:E26)</f>
        <v>0.62666666666666671</v>
      </c>
      <c r="G26" s="2">
        <f t="shared" ref="G26:G27" si="5">STDEV(C26:E26)</f>
        <v>0.10115993936995615</v>
      </c>
      <c r="H26" s="2">
        <v>0.37</v>
      </c>
      <c r="I26" s="2">
        <v>0.37</v>
      </c>
      <c r="J26" s="2">
        <v>0.39</v>
      </c>
      <c r="K26" s="2">
        <f t="shared" ref="K26" si="6">AVERAGE(H26:J26)</f>
        <v>0.37666666666666665</v>
      </c>
      <c r="L26" s="2">
        <f t="shared" ref="L26:L27" si="7">STDEV(H26:J26)</f>
        <v>1.1547005383792526E-2</v>
      </c>
    </row>
    <row r="27" spans="1:12" x14ac:dyDescent="0.2">
      <c r="B27" s="2">
        <v>128</v>
      </c>
      <c r="C27" s="2">
        <v>0.62</v>
      </c>
      <c r="D27" s="2">
        <v>0.64</v>
      </c>
      <c r="E27" s="2">
        <v>0.39</v>
      </c>
      <c r="F27" s="2">
        <f t="shared" si="4"/>
        <v>0.54999999999999993</v>
      </c>
      <c r="G27" s="2">
        <f t="shared" si="5"/>
        <v>0.13892443989449837</v>
      </c>
      <c r="H27" s="2">
        <v>0.21</v>
      </c>
      <c r="I27" s="2">
        <v>0.21</v>
      </c>
      <c r="J27" s="2">
        <v>0.21</v>
      </c>
      <c r="K27" s="2">
        <f>AVERAGE(H27:J27)</f>
        <v>0.21</v>
      </c>
      <c r="L27" s="2">
        <f t="shared" si="7"/>
        <v>0</v>
      </c>
    </row>
  </sheetData>
  <mergeCells count="7">
    <mergeCell ref="C23:L23"/>
    <mergeCell ref="A22:L22"/>
    <mergeCell ref="A9:L9"/>
    <mergeCell ref="A1:G1"/>
    <mergeCell ref="A3:A7"/>
    <mergeCell ref="B3:B7"/>
    <mergeCell ref="C11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Wildtrack_&amp;_Cityflow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2024-10-24T02:36:28Z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1d41b-6b8e-4636-984f-012bff14ba18_Enabled">
    <vt:lpwstr>True</vt:lpwstr>
  </property>
  <property fmtid="{D5CDD505-2E9C-101B-9397-08002B2CF9AE}" pid="3" name="MSIP_Label_6951d41b-6b8e-4636-984f-012bff14ba18_SiteId">
    <vt:lpwstr>c98a79ca-5a9a-4791-a243-f06afd67464d</vt:lpwstr>
  </property>
  <property fmtid="{D5CDD505-2E9C-101B-9397-08002B2CF9AE}" pid="4" name="MSIP_Label_6951d41b-6b8e-4636-984f-012bff14ba18_Owner">
    <vt:lpwstr>amit.2015@phdcs.smu.edu.sg</vt:lpwstr>
  </property>
  <property fmtid="{D5CDD505-2E9C-101B-9397-08002B2CF9AE}" pid="5" name="MSIP_Label_6951d41b-6b8e-4636-984f-012bff14ba18_SetDate">
    <vt:lpwstr>2020-09-03T08:41:26.1829258Z</vt:lpwstr>
  </property>
  <property fmtid="{D5CDD505-2E9C-101B-9397-08002B2CF9AE}" pid="6" name="MSIP_Label_6951d41b-6b8e-4636-984f-012bff14ba18_Name">
    <vt:lpwstr>Restricted</vt:lpwstr>
  </property>
  <property fmtid="{D5CDD505-2E9C-101B-9397-08002B2CF9AE}" pid="7" name="MSIP_Label_6951d41b-6b8e-4636-984f-012bff14ba18_Application">
    <vt:lpwstr>Microsoft Azure Information Protection</vt:lpwstr>
  </property>
  <property fmtid="{D5CDD505-2E9C-101B-9397-08002B2CF9AE}" pid="8" name="MSIP_Label_6951d41b-6b8e-4636-984f-012bff14ba18_ActionId">
    <vt:lpwstr>fb00b54d-be68-45fe-bce6-8037c5fdfb71</vt:lpwstr>
  </property>
  <property fmtid="{D5CDD505-2E9C-101B-9397-08002B2CF9AE}" pid="9" name="MSIP_Label_6951d41b-6b8e-4636-984f-012bff14ba18_Extended_MSFT_Method">
    <vt:lpwstr>Automatic</vt:lpwstr>
  </property>
  <property fmtid="{D5CDD505-2E9C-101B-9397-08002B2CF9AE}" pid="10" name="Sensitivity">
    <vt:lpwstr>Restricted</vt:lpwstr>
  </property>
</Properties>
</file>